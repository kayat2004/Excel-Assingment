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mir\Downloads\"/>
    </mc:Choice>
  </mc:AlternateContent>
  <xr:revisionPtr revIDLastSave="0" documentId="13_ncr:1_{2B72EBC8-BAF2-4EF1-8B06-F45E1A89FB2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XLOOKUP" sheetId="1" r:id="rId1"/>
  </sheets>
  <calcPr calcId="191029"/>
</workbook>
</file>

<file path=xl/calcChain.xml><?xml version="1.0" encoding="utf-8"?>
<calcChain xmlns="http://schemas.openxmlformats.org/spreadsheetml/2006/main">
  <c r="H30" i="1" l="1"/>
  <c r="G30" i="1"/>
  <c r="G24" i="1"/>
  <c r="G16" i="1"/>
  <c r="G3" i="1"/>
  <c r="G4" i="1"/>
  <c r="G2" i="1"/>
  <c r="G36" i="1"/>
</calcChain>
</file>

<file path=xl/sharedStrings.xml><?xml version="1.0" encoding="utf-8"?>
<sst xmlns="http://schemas.openxmlformats.org/spreadsheetml/2006/main" count="100" uniqueCount="79">
  <si>
    <t>Product ID</t>
  </si>
  <si>
    <t>Name</t>
  </si>
  <si>
    <t>Category</t>
  </si>
  <si>
    <t>Price</t>
  </si>
  <si>
    <t>P101</t>
  </si>
  <si>
    <t>Phone</t>
  </si>
  <si>
    <t>Electronics</t>
  </si>
  <si>
    <t>P102</t>
  </si>
  <si>
    <t>Laptop</t>
  </si>
  <si>
    <t>P104</t>
  </si>
  <si>
    <t>P103</t>
  </si>
  <si>
    <t>Mouse</t>
  </si>
  <si>
    <t>Accessories</t>
  </si>
  <si>
    <t>P110</t>
  </si>
  <si>
    <t>Keyboard</t>
  </si>
  <si>
    <t>P105</t>
  </si>
  <si>
    <t>Shoes</t>
  </si>
  <si>
    <t>Fashion</t>
  </si>
  <si>
    <t>P106</t>
  </si>
  <si>
    <t>Watch</t>
  </si>
  <si>
    <t>P107</t>
  </si>
  <si>
    <t>Bag</t>
  </si>
  <si>
    <t>P108</t>
  </si>
  <si>
    <t>Tablet</t>
  </si>
  <si>
    <t>P109</t>
  </si>
  <si>
    <t>Speaker</t>
  </si>
  <si>
    <t>Bottle</t>
  </si>
  <si>
    <t>Home</t>
  </si>
  <si>
    <t>OrderID</t>
  </si>
  <si>
    <t>Restaurant</t>
  </si>
  <si>
    <t>Date</t>
  </si>
  <si>
    <t>Amount</t>
  </si>
  <si>
    <t>Last Amount</t>
  </si>
  <si>
    <t>O1</t>
  </si>
  <si>
    <t>Dominos</t>
  </si>
  <si>
    <t>2026-07-01</t>
  </si>
  <si>
    <t>O2</t>
  </si>
  <si>
    <t>KFC</t>
  </si>
  <si>
    <t>2026-07-02</t>
  </si>
  <si>
    <t>O3</t>
  </si>
  <si>
    <t>2026-07-05</t>
  </si>
  <si>
    <t>O4</t>
  </si>
  <si>
    <t>Pizza Hut</t>
  </si>
  <si>
    <t>2026-07-06</t>
  </si>
  <si>
    <t>Playlist</t>
  </si>
  <si>
    <t>Genre</t>
  </si>
  <si>
    <t>Created By</t>
  </si>
  <si>
    <t>Songs</t>
  </si>
  <si>
    <t>Chill</t>
  </si>
  <si>
    <t>Lofi</t>
  </si>
  <si>
    <t>Amit</t>
  </si>
  <si>
    <t>Workout</t>
  </si>
  <si>
    <t>Pop</t>
  </si>
  <si>
    <t>Riya</t>
  </si>
  <si>
    <t>Focus</t>
  </si>
  <si>
    <t>Instrumental</t>
  </si>
  <si>
    <t>Jay</t>
  </si>
  <si>
    <t>Rock</t>
  </si>
  <si>
    <t>BookingID</t>
  </si>
  <si>
    <t>Passenger</t>
  </si>
  <si>
    <t>Train</t>
  </si>
  <si>
    <t>Status</t>
  </si>
  <si>
    <t>B101</t>
  </si>
  <si>
    <t>Aman</t>
  </si>
  <si>
    <t>Confirmed</t>
  </si>
  <si>
    <t>B102</t>
  </si>
  <si>
    <t>WL</t>
  </si>
  <si>
    <t>B103</t>
  </si>
  <si>
    <t>Karan</t>
  </si>
  <si>
    <t>RAC</t>
  </si>
  <si>
    <t>Booking</t>
  </si>
  <si>
    <t>Handled</t>
  </si>
  <si>
    <t>B999</t>
  </si>
  <si>
    <t>Delivery</t>
  </si>
  <si>
    <t>M101</t>
  </si>
  <si>
    <t>2026-07-20</t>
  </si>
  <si>
    <t>M102</t>
  </si>
  <si>
    <t>2026-07-22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</si>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</sst>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F1" sqref="F1:G4"/>
    </sheetView>
  </sheetViews>
  <sheetFormatPr defaultRowHeight="14.4" x14ac:dyDescent="0.3"/>
  <cols>
    <col min="6" max="6" width="9.88671875" bestFit="1" customWidth="1"/>
    <col min="7" max="7" width="11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1</v>
      </c>
    </row>
    <row r="2" spans="1:7" x14ac:dyDescent="0.3">
      <c r="A2" s="1" t="s">
        <v>4</v>
      </c>
      <c r="B2" s="1" t="s">
        <v>5</v>
      </c>
      <c r="C2" s="1" t="s">
        <v>6</v>
      </c>
      <c r="D2" s="1">
        <v>15000</v>
      </c>
      <c r="F2" s="1" t="s">
        <v>4</v>
      </c>
      <c r="G2" s="1" t="str">
        <f>_xlfn.SINGLE(_xlfn.XLOOKUP(F2,A2:A11,B2:B11))</f>
        <v>Phone</v>
      </c>
    </row>
    <row r="3" spans="1:7" x14ac:dyDescent="0.3">
      <c r="A3" s="1" t="s">
        <v>7</v>
      </c>
      <c r="B3" s="1" t="s">
        <v>8</v>
      </c>
      <c r="C3" s="1" t="s">
        <v>6</v>
      </c>
      <c r="D3" s="1">
        <v>55000</v>
      </c>
      <c r="F3" s="1" t="s">
        <v>9</v>
      </c>
      <c r="G3" s="1" t="str">
        <f t="shared" ref="G3:G4" si="0">_xlfn.SINGLE(_xlfn.XLOOKUP(F3,A3:A12,B3:B12))</f>
        <v>Keyboard</v>
      </c>
    </row>
    <row r="4" spans="1:7" x14ac:dyDescent="0.3">
      <c r="A4" s="1" t="s">
        <v>10</v>
      </c>
      <c r="B4" s="1" t="s">
        <v>11</v>
      </c>
      <c r="C4" s="1" t="s">
        <v>12</v>
      </c>
      <c r="D4" s="1">
        <v>800</v>
      </c>
      <c r="F4" s="1" t="s">
        <v>13</v>
      </c>
      <c r="G4" s="1" t="str">
        <f t="shared" si="0"/>
        <v>Bottle</v>
      </c>
    </row>
    <row r="5" spans="1:7" x14ac:dyDescent="0.3">
      <c r="A5" s="1" t="s">
        <v>9</v>
      </c>
      <c r="B5" s="1" t="s">
        <v>14</v>
      </c>
      <c r="C5" s="1" t="s">
        <v>12</v>
      </c>
      <c r="D5" s="1">
        <v>1500</v>
      </c>
    </row>
    <row r="6" spans="1:7" x14ac:dyDescent="0.3">
      <c r="A6" s="1" t="s">
        <v>15</v>
      </c>
      <c r="B6" s="1" t="s">
        <v>16</v>
      </c>
      <c r="C6" s="1" t="s">
        <v>17</v>
      </c>
      <c r="D6" s="1">
        <v>2500</v>
      </c>
    </row>
    <row r="7" spans="1:7" x14ac:dyDescent="0.3">
      <c r="A7" s="1" t="s">
        <v>18</v>
      </c>
      <c r="B7" s="1" t="s">
        <v>19</v>
      </c>
      <c r="C7" s="1" t="s">
        <v>17</v>
      </c>
      <c r="D7" s="1">
        <v>3000</v>
      </c>
    </row>
    <row r="8" spans="1:7" x14ac:dyDescent="0.3">
      <c r="A8" s="1" t="s">
        <v>20</v>
      </c>
      <c r="B8" s="1" t="s">
        <v>21</v>
      </c>
      <c r="C8" s="1" t="s">
        <v>17</v>
      </c>
      <c r="D8" s="1">
        <v>1800</v>
      </c>
    </row>
    <row r="9" spans="1:7" x14ac:dyDescent="0.3">
      <c r="A9" s="1" t="s">
        <v>22</v>
      </c>
      <c r="B9" s="1" t="s">
        <v>23</v>
      </c>
      <c r="C9" s="1" t="s">
        <v>6</v>
      </c>
      <c r="D9" s="1">
        <v>22000</v>
      </c>
    </row>
    <row r="10" spans="1:7" x14ac:dyDescent="0.3">
      <c r="A10" s="1" t="s">
        <v>24</v>
      </c>
      <c r="B10" s="1" t="s">
        <v>25</v>
      </c>
      <c r="C10" s="1" t="s">
        <v>6</v>
      </c>
      <c r="D10" s="1">
        <v>2800</v>
      </c>
    </row>
    <row r="11" spans="1:7" x14ac:dyDescent="0.3">
      <c r="A11" s="1" t="s">
        <v>13</v>
      </c>
      <c r="B11" s="1" t="s">
        <v>26</v>
      </c>
      <c r="C11" s="1" t="s">
        <v>27</v>
      </c>
      <c r="D11" s="1">
        <v>500</v>
      </c>
    </row>
    <row r="15" spans="1:7" x14ac:dyDescent="0.3">
      <c r="A15" s="1" t="s">
        <v>28</v>
      </c>
      <c r="B15" s="1" t="s">
        <v>29</v>
      </c>
      <c r="C15" s="1" t="s">
        <v>30</v>
      </c>
      <c r="D15" s="1" t="s">
        <v>31</v>
      </c>
      <c r="F15" s="1" t="s">
        <v>29</v>
      </c>
      <c r="G15" s="1" t="s">
        <v>32</v>
      </c>
    </row>
    <row r="16" spans="1:7" x14ac:dyDescent="0.3">
      <c r="A16" s="1" t="s">
        <v>33</v>
      </c>
      <c r="B16" s="1" t="s">
        <v>34</v>
      </c>
      <c r="C16" s="1" t="s">
        <v>35</v>
      </c>
      <c r="D16" s="1">
        <v>500</v>
      </c>
      <c r="F16" s="1" t="s">
        <v>34</v>
      </c>
      <c r="G16" s="1">
        <f>_xlfn.SINGLE(_xlfn.XLOOKUP(F16,B16:B19,D16:D19,,0,-1))</f>
        <v>650</v>
      </c>
    </row>
    <row r="17" spans="1:8" x14ac:dyDescent="0.3">
      <c r="A17" s="1" t="s">
        <v>36</v>
      </c>
      <c r="B17" s="1" t="s">
        <v>37</v>
      </c>
      <c r="C17" s="1" t="s">
        <v>38</v>
      </c>
      <c r="D17" s="1">
        <v>350</v>
      </c>
    </row>
    <row r="18" spans="1:8" x14ac:dyDescent="0.3">
      <c r="A18" s="1" t="s">
        <v>39</v>
      </c>
      <c r="B18" s="1" t="s">
        <v>34</v>
      </c>
      <c r="C18" s="1" t="s">
        <v>40</v>
      </c>
      <c r="D18" s="1">
        <v>650</v>
      </c>
    </row>
    <row r="19" spans="1:8" x14ac:dyDescent="0.3">
      <c r="A19" s="1" t="s">
        <v>41</v>
      </c>
      <c r="B19" s="1" t="s">
        <v>42</v>
      </c>
      <c r="C19" s="1" t="s">
        <v>43</v>
      </c>
      <c r="D19" s="1">
        <v>700</v>
      </c>
    </row>
    <row r="21" spans="1:8" x14ac:dyDescent="0.3">
      <c r="A21" s="1" t="s">
        <v>44</v>
      </c>
      <c r="B21" s="1" t="s">
        <v>45</v>
      </c>
      <c r="C21" s="1" t="s">
        <v>46</v>
      </c>
      <c r="D21" s="1" t="s">
        <v>47</v>
      </c>
    </row>
    <row r="22" spans="1:8" x14ac:dyDescent="0.3">
      <c r="A22" s="1" t="s">
        <v>48</v>
      </c>
      <c r="B22" s="1" t="s">
        <v>49</v>
      </c>
      <c r="C22" s="1" t="s">
        <v>50</v>
      </c>
      <c r="D22" s="1">
        <v>30</v>
      </c>
    </row>
    <row r="23" spans="1:8" x14ac:dyDescent="0.3">
      <c r="A23" s="1" t="s">
        <v>51</v>
      </c>
      <c r="B23" s="1" t="s">
        <v>52</v>
      </c>
      <c r="C23" s="1" t="s">
        <v>53</v>
      </c>
      <c r="D23" s="1">
        <v>25</v>
      </c>
      <c r="F23" s="1" t="s">
        <v>45</v>
      </c>
      <c r="G23" s="1" t="s">
        <v>44</v>
      </c>
    </row>
    <row r="24" spans="1:8" x14ac:dyDescent="0.3">
      <c r="A24" s="1" t="s">
        <v>54</v>
      </c>
      <c r="B24" s="1" t="s">
        <v>55</v>
      </c>
      <c r="C24" s="1" t="s">
        <v>56</v>
      </c>
      <c r="D24" s="1">
        <v>40</v>
      </c>
      <c r="F24" s="1" t="s">
        <v>57</v>
      </c>
      <c r="G24" s="1" t="e">
        <f ca="1">_xlfn.SINGLE(_xlfn.XLOOKUP(F24,B24:B26,A24:A26,"No playlist available"))</f>
        <v>#NAME?</v>
      </c>
    </row>
    <row r="26" spans="1:8" x14ac:dyDescent="0.3">
      <c r="A26" s="1" t="s">
        <v>58</v>
      </c>
      <c r="B26" s="1" t="s">
        <v>59</v>
      </c>
      <c r="C26" s="1" t="s">
        <v>60</v>
      </c>
      <c r="D26" s="1" t="s">
        <v>61</v>
      </c>
    </row>
    <row r="27" spans="1:8" x14ac:dyDescent="0.3">
      <c r="A27" s="1" t="s">
        <v>62</v>
      </c>
      <c r="B27" s="1" t="s">
        <v>63</v>
      </c>
      <c r="C27" s="1">
        <v>12951</v>
      </c>
      <c r="D27" s="1" t="s">
        <v>64</v>
      </c>
    </row>
    <row r="28" spans="1:8" x14ac:dyDescent="0.3">
      <c r="A28" s="1" t="s">
        <v>65</v>
      </c>
      <c r="B28" s="1" t="s">
        <v>53</v>
      </c>
      <c r="C28" s="1">
        <v>12952</v>
      </c>
      <c r="D28" s="1" t="s">
        <v>66</v>
      </c>
    </row>
    <row r="29" spans="1:8" x14ac:dyDescent="0.3">
      <c r="A29" s="1" t="s">
        <v>67</v>
      </c>
      <c r="B29" s="1" t="s">
        <v>68</v>
      </c>
      <c r="C29" s="1">
        <v>12953</v>
      </c>
      <c r="D29" s="1" t="s">
        <v>69</v>
      </c>
      <c r="F29" s="1" t="s">
        <v>70</v>
      </c>
      <c r="G29" s="1" t="s">
        <v>61</v>
      </c>
      <c r="H29" s="1" t="s">
        <v>71</v>
      </c>
    </row>
    <row r="30" spans="1:8" x14ac:dyDescent="0.3">
      <c r="F30" s="1" t="s">
        <v>72</v>
      </c>
      <c r="G30" s="1" t="e">
        <f>_xlfn.SINGLE(_xlfn.XLOOKUP(F30,A30:A32,D30:D32))</f>
        <v>#N/A</v>
      </c>
      <c r="H30" s="1" t="str">
        <f>_xlfn.SINGLE(_xlfn.XLOOKUP(F30,A30:A32,D30:D32,"Booking Not Found"))</f>
        <v>Booking Not Found</v>
      </c>
    </row>
    <row r="32" spans="1:8" x14ac:dyDescent="0.3">
      <c r="A32" s="1" t="s">
        <v>28</v>
      </c>
      <c r="B32" s="1" t="s">
        <v>73</v>
      </c>
    </row>
    <row r="33" spans="1:7" x14ac:dyDescent="0.3">
      <c r="A33" s="1" t="s">
        <v>74</v>
      </c>
      <c r="B33" s="1" t="s">
        <v>75</v>
      </c>
    </row>
    <row r="34" spans="1:7" x14ac:dyDescent="0.3">
      <c r="A34" s="1" t="s">
        <v>76</v>
      </c>
      <c r="B34" s="1" t="s">
        <v>77</v>
      </c>
    </row>
    <row r="35" spans="1:7" x14ac:dyDescent="0.3">
      <c r="F35" s="1" t="s">
        <v>78</v>
      </c>
      <c r="G35" s="1" t="s">
        <v>73</v>
      </c>
    </row>
    <row r="36" spans="1:7" x14ac:dyDescent="0.3">
      <c r="F36" s="1" t="s">
        <v>76</v>
      </c>
      <c r="G36" s="1" t="e">
        <f ca="1">XLOOKUP(F36,A36:A37,B36:B37,"Not Found")</f>
        <v>#NAME?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samir kayat</cp:lastModifiedBy>
  <dcterms:created xsi:type="dcterms:W3CDTF">2026-07-20T07:48:38Z</dcterms:created>
  <dcterms:modified xsi:type="dcterms:W3CDTF">2026-07-20T08:23:22Z</dcterms:modified>
</cp:coreProperties>
</file>