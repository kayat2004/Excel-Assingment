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ir\OneDrive\Desktop\Excelassing\"/>
    </mc:Choice>
  </mc:AlternateContent>
  <xr:revisionPtr revIDLastSave="0" documentId="8_{F1EC0281-1770-4D39-B2B8-EC6F6620CD01}" xr6:coauthVersionLast="47" xr6:coauthVersionMax="47" xr10:uidLastSave="{00000000-0000-0000-0000-000000000000}"/>
  <bookViews>
    <workbookView xWindow="-108" yWindow="-108" windowWidth="23256" windowHeight="13176" xr2:uid="{0B8F93DC-6CBE-41FD-A62E-8408347DBAA8}"/>
  </bookViews>
  <sheets>
    <sheet name="Sheet1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9" i="1" l="1"/>
  <c r="H89" i="1"/>
  <c r="C99" i="1"/>
  <c r="B99" i="1"/>
  <c r="C98" i="1"/>
  <c r="B98" i="1"/>
  <c r="C97" i="1"/>
  <c r="B97" i="1"/>
  <c r="C96" i="1"/>
  <c r="B96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</calcChain>
</file>

<file path=xl/sharedStrings.xml><?xml version="1.0" encoding="utf-8"?>
<sst xmlns="http://schemas.openxmlformats.org/spreadsheetml/2006/main" count="246" uniqueCount="73">
  <si>
    <t>Session 21 - Case Study Integration + Mini Dashboard Project</t>
  </si>
  <si>
    <t>Step 1: Raw data with a blank Delivery Partner (needs cleaning)</t>
  </si>
  <si>
    <t>Order ID</t>
  </si>
  <si>
    <t>Restaurant ID</t>
  </si>
  <si>
    <t>Order Date</t>
  </si>
  <si>
    <t>Delivery Date</t>
  </si>
  <si>
    <t>Delivery Partner</t>
  </si>
  <si>
    <t>City</t>
  </si>
  <si>
    <t>Amount</t>
  </si>
  <si>
    <t>Delivery Charge</t>
  </si>
  <si>
    <t>ORD4000</t>
  </si>
  <si>
    <t>Surat</t>
  </si>
  <si>
    <t>ORD4001</t>
  </si>
  <si>
    <t>Aman J.</t>
  </si>
  <si>
    <t>Ahmedabad</t>
  </si>
  <si>
    <t>ORD4002</t>
  </si>
  <si>
    <t>ORD4003</t>
  </si>
  <si>
    <t>Sunita P.</t>
  </si>
  <si>
    <t>ORD4004</t>
  </si>
  <si>
    <t>ORD4005</t>
  </si>
  <si>
    <t>ORD4006</t>
  </si>
  <si>
    <t>Ravi K.</t>
  </si>
  <si>
    <t>Rajkot</t>
  </si>
  <si>
    <t>ORD4007</t>
  </si>
  <si>
    <t>ORD4008</t>
  </si>
  <si>
    <t>ORD4009</t>
  </si>
  <si>
    <t>ORD4010</t>
  </si>
  <si>
    <t>ORD4011</t>
  </si>
  <si>
    <t>ORD4012</t>
  </si>
  <si>
    <t>Vadodara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</si>
  <si>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</si>
  <si>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</si>
  <si>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</si>
  <si>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</si>
  <si>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</si>
  <si>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</si>
  <si>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</si>
  <si>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</si>
  <si>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</si>
  <si>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</si>
  <si>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</si>
  <si>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</si>
  <si>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</si>
  <si>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</si>
  <si>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</si>
  <si>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</si>
  <si>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</si>
  <si>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</si>
  <si>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</si>
  <si>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</si>
  <si>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</si>
  <si>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</si>
  <si>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Step 2: Cleaned - Delivery Partner blanks -&gt; 'Unassigned'</t>
  </si>
  <si>
    <t>Restaurant Name</t>
  </si>
  <si>
    <t>Day of Week</t>
  </si>
  <si>
    <t>Unassigned</t>
  </si>
  <si>
    <t>Step 2b: Restaurant Details lookup table + XLOOKUP-equivalent (INDEX/MATCH) Restaurant Name column</t>
  </si>
  <si>
    <t>Restaurant Name (added to main sheet via lookup)</t>
  </si>
  <si>
    <t>Domino's</t>
  </si>
  <si>
    <t>Burger King</t>
  </si>
  <si>
    <t>KFC</t>
  </si>
  <si>
    <t>Subway</t>
  </si>
  <si>
    <t>Pizza Hut</t>
  </si>
  <si>
    <t>Step 3: Day of week extracted from Delivery Date</t>
  </si>
  <si>
    <t>Formula used in column J of the cleaned table:</t>
  </si>
  <si>
    <t>TEXT(D44,"dddd")   (example formula on first cleaned row, shown as text here)</t>
  </si>
  <si>
    <t>Step 4: Total orders &amp; total delivery charges by city (Pivot-equivalent)</t>
  </si>
  <si>
    <t>Total Orders</t>
  </si>
  <si>
    <t>Total Delivery Charges</t>
  </si>
  <si>
    <t>Step 5: Mini dashboard KPIs</t>
  </si>
  <si>
    <t>TOTAL ORDERS</t>
  </si>
  <si>
    <t>AVG DELIVERY DAYS</t>
  </si>
  <si>
    <t>Task 5 also asks for Top 3 restaurants by order count and a City slicer: build a COUNTIF summary by Restaurant Name (same pattern as the City table above), sort descending and take the top 3; add the slicer inside Excel via Insert Slicer once you've built a real PivotTable from this cleaned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</si>
</sst>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i/>
      <sz val="11"/>
      <color rgb="FF44444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b/>
      <sz val="9"/>
      <color rgb="FF444444"/>
      <name val="Arial"/>
      <family val="2"/>
    </font>
    <font>
      <b/>
      <sz val="11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4" borderId="0" xfId="0" applyFont="1" applyFill="1"/>
    <xf numFmtId="0" fontId="1" fillId="0" borderId="0" xfId="0" applyFont="1"/>
    <xf numFmtId="165" fontId="1" fillId="0" borderId="0" xfId="0" applyNumberFormat="1" applyFont="1"/>
    <xf numFmtId="0" fontId="5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&amp; Delivery Charges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[1]S21_Integration_MiniDashboard!$B$95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[1]S21_Integration_MiniDashboard!$A$96:$A$100</c:f>
              <c:strCache>
                <c:ptCount val="4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</c:strCache>
            </c:strRef>
          </c:cat>
          <c:val>
            <c:numRef>
              <c:f>[1]S21_Integration_MiniDashboard!$B$96:$B$100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0-468F-AADA-6D8172FB74EA}"/>
            </c:ext>
          </c:extLst>
        </c:ser>
        <c:ser>
          <c:idx val="1"/>
          <c:order val="1"/>
          <c:tx>
            <c:strRef>
              <c:f>[1]S21_Integration_MiniDashboard!$C$95</c:f>
              <c:strCache>
                <c:ptCount val="1"/>
                <c:pt idx="0">
                  <c:v>Total Delivery Charges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[1]S21_Integration_MiniDashboard!$A$96:$A$100</c:f>
              <c:strCache>
                <c:ptCount val="4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</c:strCache>
            </c:strRef>
          </c:cat>
          <c:val>
            <c:numRef>
              <c:f>[1]S21_Integration_MiniDashboard!$C$96:$C$100</c:f>
              <c:numCache>
                <c:formatCode>General</c:formatCode>
                <c:ptCount val="5"/>
                <c:pt idx="0">
                  <c:v>375</c:v>
                </c:pt>
                <c:pt idx="1">
                  <c:v>712</c:v>
                </c:pt>
                <c:pt idx="2">
                  <c:v>278</c:v>
                </c:pt>
                <c:pt idx="3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0-468F-AADA-6D8172FB7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64585"/>
        <c:axId val="74444424"/>
      </c:barChart>
      <c:catAx>
        <c:axId val="4364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44424"/>
        <c:crosses val="autoZero"/>
        <c:auto val="1"/>
        <c:lblAlgn val="ctr"/>
        <c:lblOffset val="100"/>
        <c:noMultiLvlLbl val="0"/>
      </c:catAx>
      <c:valAx>
        <c:axId val="74444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4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90</xdr:row>
      <xdr:rowOff>29400</xdr:rowOff>
    </xdr:from>
    <xdr:to>
      <xdr:col>13</xdr:col>
      <xdr:colOff>206820</xdr:colOff>
      <xdr:row>105</xdr:row>
      <xdr:rowOff>97980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AC742-AC80-406C-8A6E-BA99F9814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ir\Downloads\Excle%20Assignments.xlsx" TargetMode="External"/><Relationship Id="rId1" Type="http://schemas.openxmlformats.org/officeDocument/2006/relationships/externalLinkPath" Target="file:///C:\Users\samir\Downloads\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5">
          <cell r="B95" t="str">
            <v>Total Orders</v>
          </cell>
          <cell r="C95" t="str">
            <v>Total Delivery Charges</v>
          </cell>
        </row>
        <row r="96">
          <cell r="A96" t="str">
            <v>Ahmedabad</v>
          </cell>
          <cell r="B96">
            <v>9</v>
          </cell>
          <cell r="C96">
            <v>375</v>
          </cell>
        </row>
        <row r="97">
          <cell r="A97" t="str">
            <v>Surat</v>
          </cell>
          <cell r="B97">
            <v>13</v>
          </cell>
          <cell r="C97">
            <v>712</v>
          </cell>
        </row>
        <row r="98">
          <cell r="A98" t="str">
            <v>Vadodara</v>
          </cell>
          <cell r="B98">
            <v>5</v>
          </cell>
          <cell r="C98">
            <v>278</v>
          </cell>
        </row>
        <row r="99">
          <cell r="A99" t="str">
            <v>Rajkot</v>
          </cell>
          <cell r="B99">
            <v>8</v>
          </cell>
          <cell r="C99">
            <v>457</v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CFF0-65EB-4C12-B3C8-E8AC986BDB07}">
  <dimension ref="A1:M120"/>
  <sheetViews>
    <sheetView tabSelected="1" topLeftCell="A50" workbookViewId="0">
      <selection activeCell="G95" sqref="G95"/>
    </sheetView>
  </sheetViews>
  <sheetFormatPr defaultColWidth="8.6640625" defaultRowHeight="14.4" x14ac:dyDescent="0.3"/>
  <cols>
    <col min="1" max="1" width="12" customWidth="1"/>
    <col min="2" max="2" width="16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17.399999999999999" x14ac:dyDescent="0.3">
      <c r="A1" s="1" t="s">
        <v>0</v>
      </c>
      <c r="B1" s="1"/>
      <c r="C1" s="1"/>
      <c r="D1" s="1"/>
      <c r="E1" s="1"/>
      <c r="F1" s="1"/>
    </row>
    <row r="3" spans="1:8" x14ac:dyDescent="0.3">
      <c r="A3" s="14" t="s">
        <v>1</v>
      </c>
      <c r="B3" s="14"/>
      <c r="C3" s="14"/>
      <c r="D3" s="14"/>
      <c r="E3" s="14"/>
      <c r="F3" s="14"/>
    </row>
    <row r="4" spans="1:8" ht="27.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">
      <c r="A5" s="4" t="s">
        <v>10</v>
      </c>
      <c r="B5" s="4">
        <v>4</v>
      </c>
      <c r="C5" s="5">
        <v>46213</v>
      </c>
      <c r="D5" s="5">
        <v>46214</v>
      </c>
      <c r="E5" s="4"/>
      <c r="F5" s="4" t="s">
        <v>11</v>
      </c>
      <c r="G5" s="4">
        <v>531</v>
      </c>
      <c r="H5" s="4">
        <v>75</v>
      </c>
    </row>
    <row r="6" spans="1:8" x14ac:dyDescent="0.3">
      <c r="A6" s="4" t="s">
        <v>12</v>
      </c>
      <c r="B6" s="4">
        <v>1</v>
      </c>
      <c r="C6" s="5">
        <v>46195</v>
      </c>
      <c r="D6" s="5">
        <v>46197</v>
      </c>
      <c r="E6" s="4" t="s">
        <v>13</v>
      </c>
      <c r="F6" s="4" t="s">
        <v>14</v>
      </c>
      <c r="G6" s="4">
        <v>834</v>
      </c>
      <c r="H6" s="4">
        <v>55</v>
      </c>
    </row>
    <row r="7" spans="1:8" x14ac:dyDescent="0.3">
      <c r="A7" s="4" t="s">
        <v>15</v>
      </c>
      <c r="B7" s="4">
        <v>5</v>
      </c>
      <c r="C7" s="5">
        <v>46218</v>
      </c>
      <c r="D7" s="5">
        <v>46218</v>
      </c>
      <c r="E7" s="4" t="s">
        <v>13</v>
      </c>
      <c r="F7" s="4" t="s">
        <v>11</v>
      </c>
      <c r="G7" s="4">
        <v>1075</v>
      </c>
      <c r="H7" s="4">
        <v>80</v>
      </c>
    </row>
    <row r="8" spans="1:8" x14ac:dyDescent="0.3">
      <c r="A8" s="4" t="s">
        <v>16</v>
      </c>
      <c r="B8" s="4">
        <v>4</v>
      </c>
      <c r="C8" s="5">
        <v>46184</v>
      </c>
      <c r="D8" s="5">
        <v>46184</v>
      </c>
      <c r="E8" s="4" t="s">
        <v>17</v>
      </c>
      <c r="F8" s="4" t="s">
        <v>14</v>
      </c>
      <c r="G8" s="4">
        <v>377</v>
      </c>
      <c r="H8" s="4">
        <v>28</v>
      </c>
    </row>
    <row r="9" spans="1:8" x14ac:dyDescent="0.3">
      <c r="A9" s="4" t="s">
        <v>18</v>
      </c>
      <c r="B9" s="4">
        <v>5</v>
      </c>
      <c r="C9" s="5">
        <v>46211</v>
      </c>
      <c r="D9" s="5">
        <v>46211</v>
      </c>
      <c r="E9" s="4" t="s">
        <v>13</v>
      </c>
      <c r="F9" s="4" t="s">
        <v>14</v>
      </c>
      <c r="G9" s="4">
        <v>746</v>
      </c>
      <c r="H9" s="4">
        <v>33</v>
      </c>
    </row>
    <row r="10" spans="1:8" x14ac:dyDescent="0.3">
      <c r="A10" s="4" t="s">
        <v>19</v>
      </c>
      <c r="B10" s="4">
        <v>2</v>
      </c>
      <c r="C10" s="5">
        <v>46200</v>
      </c>
      <c r="D10" s="5">
        <v>46200</v>
      </c>
      <c r="E10" s="4"/>
      <c r="F10" s="4" t="s">
        <v>11</v>
      </c>
      <c r="G10" s="4">
        <v>962</v>
      </c>
      <c r="H10" s="4">
        <v>37</v>
      </c>
    </row>
    <row r="11" spans="1:8" x14ac:dyDescent="0.3">
      <c r="A11" s="4" t="s">
        <v>20</v>
      </c>
      <c r="B11" s="4">
        <v>3</v>
      </c>
      <c r="C11" s="5">
        <v>46176</v>
      </c>
      <c r="D11" s="5">
        <v>46176</v>
      </c>
      <c r="E11" s="4" t="s">
        <v>21</v>
      </c>
      <c r="F11" s="4" t="s">
        <v>22</v>
      </c>
      <c r="G11" s="4">
        <v>262</v>
      </c>
      <c r="H11" s="4">
        <v>77</v>
      </c>
    </row>
    <row r="12" spans="1:8" x14ac:dyDescent="0.3">
      <c r="A12" s="4" t="s">
        <v>23</v>
      </c>
      <c r="B12" s="4">
        <v>4</v>
      </c>
      <c r="C12" s="5">
        <v>46205</v>
      </c>
      <c r="D12" s="5">
        <v>46205</v>
      </c>
      <c r="E12" s="4" t="s">
        <v>21</v>
      </c>
      <c r="F12" s="4" t="s">
        <v>11</v>
      </c>
      <c r="G12" s="4">
        <v>1019</v>
      </c>
      <c r="H12" s="4">
        <v>67</v>
      </c>
    </row>
    <row r="13" spans="1:8" x14ac:dyDescent="0.3">
      <c r="A13" s="4" t="s">
        <v>24</v>
      </c>
      <c r="B13" s="4">
        <v>1</v>
      </c>
      <c r="C13" s="5">
        <v>46212</v>
      </c>
      <c r="D13" s="5">
        <v>46212</v>
      </c>
      <c r="E13" s="4" t="s">
        <v>21</v>
      </c>
      <c r="F13" s="4" t="s">
        <v>11</v>
      </c>
      <c r="G13" s="4">
        <v>565</v>
      </c>
      <c r="H13" s="4">
        <v>41</v>
      </c>
    </row>
    <row r="14" spans="1:8" x14ac:dyDescent="0.3">
      <c r="A14" s="4" t="s">
        <v>25</v>
      </c>
      <c r="B14" s="4">
        <v>1</v>
      </c>
      <c r="C14" s="5">
        <v>46179</v>
      </c>
      <c r="D14" s="5">
        <v>46179</v>
      </c>
      <c r="E14" s="4" t="s">
        <v>21</v>
      </c>
      <c r="F14" s="4" t="s">
        <v>14</v>
      </c>
      <c r="G14" s="4">
        <v>1323</v>
      </c>
      <c r="H14" s="4">
        <v>51</v>
      </c>
    </row>
    <row r="15" spans="1:8" x14ac:dyDescent="0.3">
      <c r="A15" s="4" t="s">
        <v>26</v>
      </c>
      <c r="B15" s="4">
        <v>5</v>
      </c>
      <c r="C15" s="5">
        <v>46186</v>
      </c>
      <c r="D15" s="5">
        <v>46187</v>
      </c>
      <c r="E15" s="4" t="s">
        <v>21</v>
      </c>
      <c r="F15" s="4" t="s">
        <v>22</v>
      </c>
      <c r="G15" s="4">
        <v>543</v>
      </c>
      <c r="H15" s="4">
        <v>60</v>
      </c>
    </row>
    <row r="16" spans="1:8" x14ac:dyDescent="0.3">
      <c r="A16" s="4" t="s">
        <v>27</v>
      </c>
      <c r="B16" s="4">
        <v>1</v>
      </c>
      <c r="C16" s="5">
        <v>46218</v>
      </c>
      <c r="D16" s="5">
        <v>46220</v>
      </c>
      <c r="E16" s="4" t="s">
        <v>17</v>
      </c>
      <c r="F16" s="4" t="s">
        <v>11</v>
      </c>
      <c r="G16" s="4">
        <v>1397</v>
      </c>
      <c r="H16" s="4">
        <v>66</v>
      </c>
    </row>
    <row r="17" spans="1:8" x14ac:dyDescent="0.3">
      <c r="A17" s="4" t="s">
        <v>28</v>
      </c>
      <c r="B17" s="4">
        <v>1</v>
      </c>
      <c r="C17" s="5">
        <v>46177</v>
      </c>
      <c r="D17" s="5">
        <v>46178</v>
      </c>
      <c r="E17" s="4" t="s">
        <v>17</v>
      </c>
      <c r="F17" s="4" t="s">
        <v>29</v>
      </c>
      <c r="G17" s="4">
        <v>1328</v>
      </c>
      <c r="H17" s="4">
        <v>22</v>
      </c>
    </row>
    <row r="18" spans="1:8" x14ac:dyDescent="0.3">
      <c r="A18" s="4" t="s">
        <v>30</v>
      </c>
      <c r="B18" s="4">
        <v>1</v>
      </c>
      <c r="C18" s="5">
        <v>46219</v>
      </c>
      <c r="D18" s="5">
        <v>46220</v>
      </c>
      <c r="E18" s="4" t="s">
        <v>17</v>
      </c>
      <c r="F18" s="4" t="s">
        <v>11</v>
      </c>
      <c r="G18" s="4">
        <v>1184</v>
      </c>
      <c r="H18" s="4">
        <v>22</v>
      </c>
    </row>
    <row r="19" spans="1:8" x14ac:dyDescent="0.3">
      <c r="A19" s="4" t="s">
        <v>31</v>
      </c>
      <c r="B19" s="4">
        <v>3</v>
      </c>
      <c r="C19" s="5">
        <v>46217</v>
      </c>
      <c r="D19" s="5">
        <v>46219</v>
      </c>
      <c r="E19" s="4" t="s">
        <v>21</v>
      </c>
      <c r="F19" s="4" t="s">
        <v>29</v>
      </c>
      <c r="G19" s="4">
        <v>375</v>
      </c>
      <c r="H19" s="4">
        <v>75</v>
      </c>
    </row>
    <row r="20" spans="1:8" x14ac:dyDescent="0.3">
      <c r="A20" s="4" t="s">
        <v>32</v>
      </c>
      <c r="B20" s="4">
        <v>5</v>
      </c>
      <c r="C20" s="5">
        <v>46197</v>
      </c>
      <c r="D20" s="5">
        <v>46198</v>
      </c>
      <c r="E20" s="4" t="s">
        <v>17</v>
      </c>
      <c r="F20" s="4" t="s">
        <v>22</v>
      </c>
      <c r="G20" s="4">
        <v>557</v>
      </c>
      <c r="H20" s="4">
        <v>80</v>
      </c>
    </row>
    <row r="21" spans="1:8" x14ac:dyDescent="0.3">
      <c r="A21" s="4" t="s">
        <v>33</v>
      </c>
      <c r="B21" s="4">
        <v>5</v>
      </c>
      <c r="C21" s="5">
        <v>46175</v>
      </c>
      <c r="D21" s="5">
        <v>46176</v>
      </c>
      <c r="E21" s="4"/>
      <c r="F21" s="4" t="s">
        <v>14</v>
      </c>
      <c r="G21" s="4">
        <v>1037</v>
      </c>
      <c r="H21" s="4">
        <v>27</v>
      </c>
    </row>
    <row r="22" spans="1:8" x14ac:dyDescent="0.3">
      <c r="A22" s="4" t="s">
        <v>34</v>
      </c>
      <c r="B22" s="4">
        <v>2</v>
      </c>
      <c r="C22" s="5">
        <v>46188</v>
      </c>
      <c r="D22" s="5">
        <v>46189</v>
      </c>
      <c r="E22" s="4"/>
      <c r="F22" s="4" t="s">
        <v>29</v>
      </c>
      <c r="G22" s="4">
        <v>331</v>
      </c>
      <c r="H22" s="4">
        <v>39</v>
      </c>
    </row>
    <row r="23" spans="1:8" x14ac:dyDescent="0.3">
      <c r="A23" s="4" t="s">
        <v>35</v>
      </c>
      <c r="B23" s="4">
        <v>3</v>
      </c>
      <c r="C23" s="5">
        <v>46180</v>
      </c>
      <c r="D23" s="5">
        <v>46182</v>
      </c>
      <c r="E23" s="4" t="s">
        <v>21</v>
      </c>
      <c r="F23" s="4" t="s">
        <v>14</v>
      </c>
      <c r="G23" s="4">
        <v>931</v>
      </c>
      <c r="H23" s="4">
        <v>69</v>
      </c>
    </row>
    <row r="24" spans="1:8" x14ac:dyDescent="0.3">
      <c r="A24" s="4" t="s">
        <v>36</v>
      </c>
      <c r="B24" s="4">
        <v>5</v>
      </c>
      <c r="C24" s="5">
        <v>46201</v>
      </c>
      <c r="D24" s="5">
        <v>46202</v>
      </c>
      <c r="E24" s="4"/>
      <c r="F24" s="4" t="s">
        <v>11</v>
      </c>
      <c r="G24" s="4">
        <v>1309</v>
      </c>
      <c r="H24" s="4">
        <v>67</v>
      </c>
    </row>
    <row r="25" spans="1:8" x14ac:dyDescent="0.3">
      <c r="A25" s="4" t="s">
        <v>37</v>
      </c>
      <c r="B25" s="4">
        <v>1</v>
      </c>
      <c r="C25" s="5">
        <v>46201</v>
      </c>
      <c r="D25" s="5">
        <v>46201</v>
      </c>
      <c r="E25" s="4" t="s">
        <v>21</v>
      </c>
      <c r="F25" s="4" t="s">
        <v>22</v>
      </c>
      <c r="G25" s="4">
        <v>1194</v>
      </c>
      <c r="H25" s="4">
        <v>43</v>
      </c>
    </row>
    <row r="26" spans="1:8" x14ac:dyDescent="0.3">
      <c r="A26" s="4" t="s">
        <v>38</v>
      </c>
      <c r="B26" s="4">
        <v>5</v>
      </c>
      <c r="C26" s="5">
        <v>46197</v>
      </c>
      <c r="D26" s="5">
        <v>46197</v>
      </c>
      <c r="E26" s="4"/>
      <c r="F26" s="4" t="s">
        <v>11</v>
      </c>
      <c r="G26" s="4">
        <v>680</v>
      </c>
      <c r="H26" s="4">
        <v>21</v>
      </c>
    </row>
    <row r="27" spans="1:8" x14ac:dyDescent="0.3">
      <c r="A27" s="4" t="s">
        <v>39</v>
      </c>
      <c r="B27" s="4">
        <v>1</v>
      </c>
      <c r="C27" s="5">
        <v>46185</v>
      </c>
      <c r="D27" s="5">
        <v>46186</v>
      </c>
      <c r="E27" s="4" t="s">
        <v>17</v>
      </c>
      <c r="F27" s="4" t="s">
        <v>14</v>
      </c>
      <c r="G27" s="4">
        <v>1392</v>
      </c>
      <c r="H27" s="4">
        <v>29</v>
      </c>
    </row>
    <row r="28" spans="1:8" x14ac:dyDescent="0.3">
      <c r="A28" s="4" t="s">
        <v>40</v>
      </c>
      <c r="B28" s="4">
        <v>1</v>
      </c>
      <c r="C28" s="5">
        <v>46177</v>
      </c>
      <c r="D28" s="5">
        <v>46177</v>
      </c>
      <c r="E28" s="4" t="s">
        <v>13</v>
      </c>
      <c r="F28" s="4" t="s">
        <v>11</v>
      </c>
      <c r="G28" s="4">
        <v>946</v>
      </c>
      <c r="H28" s="4">
        <v>38</v>
      </c>
    </row>
    <row r="29" spans="1:8" x14ac:dyDescent="0.3">
      <c r="A29" s="4" t="s">
        <v>41</v>
      </c>
      <c r="B29" s="4">
        <v>5</v>
      </c>
      <c r="C29" s="5">
        <v>46174</v>
      </c>
      <c r="D29" s="5">
        <v>46175</v>
      </c>
      <c r="E29" s="4"/>
      <c r="F29" s="4" t="s">
        <v>11</v>
      </c>
      <c r="G29" s="4">
        <v>1134</v>
      </c>
      <c r="H29" s="4">
        <v>55</v>
      </c>
    </row>
    <row r="30" spans="1:8" x14ac:dyDescent="0.3">
      <c r="A30" s="4" t="s">
        <v>42</v>
      </c>
      <c r="B30" s="4">
        <v>3</v>
      </c>
      <c r="C30" s="5">
        <v>46182</v>
      </c>
      <c r="D30" s="5">
        <v>46182</v>
      </c>
      <c r="E30" s="4"/>
      <c r="F30" s="4" t="s">
        <v>14</v>
      </c>
      <c r="G30" s="4">
        <v>284</v>
      </c>
      <c r="H30" s="4">
        <v>46</v>
      </c>
    </row>
    <row r="31" spans="1:8" x14ac:dyDescent="0.3">
      <c r="A31" s="4" t="s">
        <v>43</v>
      </c>
      <c r="B31" s="4">
        <v>4</v>
      </c>
      <c r="C31" s="5">
        <v>46183</v>
      </c>
      <c r="D31" s="5">
        <v>46185</v>
      </c>
      <c r="E31" s="4" t="s">
        <v>13</v>
      </c>
      <c r="F31" s="4" t="s">
        <v>11</v>
      </c>
      <c r="G31" s="4">
        <v>711</v>
      </c>
      <c r="H31" s="4">
        <v>69</v>
      </c>
    </row>
    <row r="32" spans="1:8" x14ac:dyDescent="0.3">
      <c r="A32" s="4" t="s">
        <v>44</v>
      </c>
      <c r="B32" s="4">
        <v>5</v>
      </c>
      <c r="C32" s="5">
        <v>46212</v>
      </c>
      <c r="D32" s="5">
        <v>46213</v>
      </c>
      <c r="E32" s="4"/>
      <c r="F32" s="4" t="s">
        <v>14</v>
      </c>
      <c r="G32" s="4">
        <v>249</v>
      </c>
      <c r="H32" s="4">
        <v>37</v>
      </c>
    </row>
    <row r="33" spans="1:10" x14ac:dyDescent="0.3">
      <c r="A33" s="4" t="s">
        <v>45</v>
      </c>
      <c r="B33" s="4">
        <v>5</v>
      </c>
      <c r="C33" s="5">
        <v>46182</v>
      </c>
      <c r="D33" s="5">
        <v>46182</v>
      </c>
      <c r="E33" s="4" t="s">
        <v>21</v>
      </c>
      <c r="F33" s="4" t="s">
        <v>11</v>
      </c>
      <c r="G33" s="4">
        <v>605</v>
      </c>
      <c r="H33" s="4">
        <v>74</v>
      </c>
    </row>
    <row r="34" spans="1:10" x14ac:dyDescent="0.3">
      <c r="A34" s="4" t="s">
        <v>46</v>
      </c>
      <c r="B34" s="4">
        <v>1</v>
      </c>
      <c r="C34" s="5">
        <v>46186</v>
      </c>
      <c r="D34" s="5">
        <v>46186</v>
      </c>
      <c r="E34" s="4" t="s">
        <v>13</v>
      </c>
      <c r="F34" s="4" t="s">
        <v>22</v>
      </c>
      <c r="G34" s="4">
        <v>1361</v>
      </c>
      <c r="H34" s="4">
        <v>55</v>
      </c>
    </row>
    <row r="35" spans="1:10" x14ac:dyDescent="0.3">
      <c r="A35" s="4" t="s">
        <v>47</v>
      </c>
      <c r="B35" s="4">
        <v>5</v>
      </c>
      <c r="C35" s="5">
        <v>46198</v>
      </c>
      <c r="D35" s="5">
        <v>46198</v>
      </c>
      <c r="E35" s="4" t="s">
        <v>17</v>
      </c>
      <c r="F35" s="4" t="s">
        <v>22</v>
      </c>
      <c r="G35" s="4">
        <v>1364</v>
      </c>
      <c r="H35" s="4">
        <v>80</v>
      </c>
    </row>
    <row r="36" spans="1:10" x14ac:dyDescent="0.3">
      <c r="A36" s="4" t="s">
        <v>48</v>
      </c>
      <c r="B36" s="4">
        <v>3</v>
      </c>
      <c r="C36" s="5">
        <v>46208</v>
      </c>
      <c r="D36" s="5">
        <v>46208</v>
      </c>
      <c r="E36" s="4" t="s">
        <v>21</v>
      </c>
      <c r="F36" s="4" t="s">
        <v>22</v>
      </c>
      <c r="G36" s="4">
        <v>1264</v>
      </c>
      <c r="H36" s="4">
        <v>39</v>
      </c>
    </row>
    <row r="37" spans="1:10" x14ac:dyDescent="0.3">
      <c r="A37" s="4" t="s">
        <v>49</v>
      </c>
      <c r="B37" s="4">
        <v>5</v>
      </c>
      <c r="C37" s="5">
        <v>46207</v>
      </c>
      <c r="D37" s="5">
        <v>46209</v>
      </c>
      <c r="E37" s="4" t="s">
        <v>21</v>
      </c>
      <c r="F37" s="4" t="s">
        <v>29</v>
      </c>
      <c r="G37" s="4">
        <v>281</v>
      </c>
      <c r="H37" s="4">
        <v>66</v>
      </c>
    </row>
    <row r="38" spans="1:10" x14ac:dyDescent="0.3">
      <c r="A38" s="4" t="s">
        <v>50</v>
      </c>
      <c r="B38" s="4">
        <v>2</v>
      </c>
      <c r="C38" s="5">
        <v>46182</v>
      </c>
      <c r="D38" s="5">
        <v>46182</v>
      </c>
      <c r="E38" s="4" t="s">
        <v>21</v>
      </c>
      <c r="F38" s="4" t="s">
        <v>22</v>
      </c>
      <c r="G38" s="4">
        <v>1078</v>
      </c>
      <c r="H38" s="4">
        <v>23</v>
      </c>
    </row>
    <row r="39" spans="1:10" x14ac:dyDescent="0.3">
      <c r="A39" s="4" t="s">
        <v>51</v>
      </c>
      <c r="B39" s="4">
        <v>4</v>
      </c>
      <c r="C39" s="5">
        <v>46214</v>
      </c>
      <c r="D39" s="5">
        <v>46214</v>
      </c>
      <c r="E39" s="4" t="s">
        <v>21</v>
      </c>
      <c r="F39" s="4" t="s">
        <v>29</v>
      </c>
      <c r="G39" s="4">
        <v>648</v>
      </c>
      <c r="H39" s="4">
        <v>76</v>
      </c>
    </row>
    <row r="42" spans="1:10" x14ac:dyDescent="0.3">
      <c r="A42" s="14" t="s">
        <v>52</v>
      </c>
      <c r="B42" s="14"/>
      <c r="C42" s="14"/>
      <c r="D42" s="14"/>
      <c r="E42" s="14"/>
      <c r="F42" s="14"/>
    </row>
    <row r="43" spans="1:10" ht="27.6" x14ac:dyDescent="0.3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  <c r="H43" s="3" t="s">
        <v>9</v>
      </c>
      <c r="I43" s="6" t="s">
        <v>53</v>
      </c>
      <c r="J43" s="6" t="s">
        <v>54</v>
      </c>
    </row>
    <row r="44" spans="1:10" x14ac:dyDescent="0.3">
      <c r="A44" s="4" t="s">
        <v>10</v>
      </c>
      <c r="B44" s="4">
        <v>4</v>
      </c>
      <c r="C44" s="5">
        <v>46213</v>
      </c>
      <c r="D44" s="5">
        <v>46214</v>
      </c>
      <c r="E44" s="4" t="s">
        <v>55</v>
      </c>
      <c r="F44" s="4" t="s">
        <v>11</v>
      </c>
      <c r="G44" s="4">
        <v>531</v>
      </c>
      <c r="H44" s="4">
        <v>75</v>
      </c>
      <c r="I44" s="7" t="str">
        <f t="shared" ref="I44:I78" si="0">INDEX($B$83:$B$88,MATCH(B44,$A$83:$A$88,0))</f>
        <v>Subway</v>
      </c>
      <c r="J44" s="7" t="str">
        <f t="shared" ref="J44:J78" si="1">TEXT(D44,"dddd")</f>
        <v>Saturday</v>
      </c>
    </row>
    <row r="45" spans="1:10" x14ac:dyDescent="0.3">
      <c r="A45" s="4" t="s">
        <v>12</v>
      </c>
      <c r="B45" s="4">
        <v>1</v>
      </c>
      <c r="C45" s="5">
        <v>46195</v>
      </c>
      <c r="D45" s="5">
        <v>46197</v>
      </c>
      <c r="E45" s="4" t="s">
        <v>13</v>
      </c>
      <c r="F45" s="4" t="s">
        <v>14</v>
      </c>
      <c r="G45" s="4">
        <v>834</v>
      </c>
      <c r="H45" s="4">
        <v>55</v>
      </c>
      <c r="I45" s="7" t="str">
        <f t="shared" si="0"/>
        <v>Domino's</v>
      </c>
      <c r="J45" s="7" t="str">
        <f t="shared" si="1"/>
        <v>Wednesday</v>
      </c>
    </row>
    <row r="46" spans="1:10" x14ac:dyDescent="0.3">
      <c r="A46" s="4" t="s">
        <v>15</v>
      </c>
      <c r="B46" s="4">
        <v>5</v>
      </c>
      <c r="C46" s="5">
        <v>46218</v>
      </c>
      <c r="D46" s="5">
        <v>46218</v>
      </c>
      <c r="E46" s="4" t="s">
        <v>13</v>
      </c>
      <c r="F46" s="4" t="s">
        <v>11</v>
      </c>
      <c r="G46" s="4">
        <v>1075</v>
      </c>
      <c r="H46" s="4">
        <v>80</v>
      </c>
      <c r="I46" s="7" t="str">
        <f t="shared" si="0"/>
        <v>Pizza Hut</v>
      </c>
      <c r="J46" s="7" t="str">
        <f t="shared" si="1"/>
        <v>Wednesday</v>
      </c>
    </row>
    <row r="47" spans="1:10" x14ac:dyDescent="0.3">
      <c r="A47" s="4" t="s">
        <v>16</v>
      </c>
      <c r="B47" s="4">
        <v>4</v>
      </c>
      <c r="C47" s="5">
        <v>46184</v>
      </c>
      <c r="D47" s="5">
        <v>46184</v>
      </c>
      <c r="E47" s="4" t="s">
        <v>17</v>
      </c>
      <c r="F47" s="4" t="s">
        <v>14</v>
      </c>
      <c r="G47" s="4">
        <v>377</v>
      </c>
      <c r="H47" s="4">
        <v>28</v>
      </c>
      <c r="I47" s="7" t="str">
        <f t="shared" si="0"/>
        <v>Subway</v>
      </c>
      <c r="J47" s="7" t="str">
        <f t="shared" si="1"/>
        <v>Thursday</v>
      </c>
    </row>
    <row r="48" spans="1:10" x14ac:dyDescent="0.3">
      <c r="A48" s="4" t="s">
        <v>18</v>
      </c>
      <c r="B48" s="4">
        <v>5</v>
      </c>
      <c r="C48" s="5">
        <v>46211</v>
      </c>
      <c r="D48" s="5">
        <v>46211</v>
      </c>
      <c r="E48" s="4" t="s">
        <v>13</v>
      </c>
      <c r="F48" s="4" t="s">
        <v>14</v>
      </c>
      <c r="G48" s="4">
        <v>746</v>
      </c>
      <c r="H48" s="4">
        <v>33</v>
      </c>
      <c r="I48" s="7" t="str">
        <f t="shared" si="0"/>
        <v>Pizza Hut</v>
      </c>
      <c r="J48" s="7" t="str">
        <f t="shared" si="1"/>
        <v>Wednesday</v>
      </c>
    </row>
    <row r="49" spans="1:10" x14ac:dyDescent="0.3">
      <c r="A49" s="4" t="s">
        <v>19</v>
      </c>
      <c r="B49" s="4">
        <v>2</v>
      </c>
      <c r="C49" s="5">
        <v>46200</v>
      </c>
      <c r="D49" s="5">
        <v>46200</v>
      </c>
      <c r="E49" s="4" t="s">
        <v>55</v>
      </c>
      <c r="F49" s="4" t="s">
        <v>11</v>
      </c>
      <c r="G49" s="4">
        <v>962</v>
      </c>
      <c r="H49" s="4">
        <v>37</v>
      </c>
      <c r="I49" s="7" t="str">
        <f t="shared" si="0"/>
        <v>Burger King</v>
      </c>
      <c r="J49" s="7" t="str">
        <f t="shared" si="1"/>
        <v>Saturday</v>
      </c>
    </row>
    <row r="50" spans="1:10" x14ac:dyDescent="0.3">
      <c r="A50" s="4" t="s">
        <v>20</v>
      </c>
      <c r="B50" s="4">
        <v>3</v>
      </c>
      <c r="C50" s="5">
        <v>46176</v>
      </c>
      <c r="D50" s="5">
        <v>46176</v>
      </c>
      <c r="E50" s="4" t="s">
        <v>21</v>
      </c>
      <c r="F50" s="4" t="s">
        <v>22</v>
      </c>
      <c r="G50" s="4">
        <v>262</v>
      </c>
      <c r="H50" s="4">
        <v>77</v>
      </c>
      <c r="I50" s="7" t="str">
        <f t="shared" si="0"/>
        <v>KFC</v>
      </c>
      <c r="J50" s="7" t="str">
        <f t="shared" si="1"/>
        <v>Wednesday</v>
      </c>
    </row>
    <row r="51" spans="1:10" x14ac:dyDescent="0.3">
      <c r="A51" s="4" t="s">
        <v>23</v>
      </c>
      <c r="B51" s="4">
        <v>4</v>
      </c>
      <c r="C51" s="5">
        <v>46205</v>
      </c>
      <c r="D51" s="5">
        <v>46205</v>
      </c>
      <c r="E51" s="4" t="s">
        <v>21</v>
      </c>
      <c r="F51" s="4" t="s">
        <v>11</v>
      </c>
      <c r="G51" s="4">
        <v>1019</v>
      </c>
      <c r="H51" s="4">
        <v>67</v>
      </c>
      <c r="I51" s="7" t="str">
        <f t="shared" si="0"/>
        <v>Subway</v>
      </c>
      <c r="J51" s="7" t="str">
        <f t="shared" si="1"/>
        <v>Thursday</v>
      </c>
    </row>
    <row r="52" spans="1:10" x14ac:dyDescent="0.3">
      <c r="A52" s="4" t="s">
        <v>24</v>
      </c>
      <c r="B52" s="4">
        <v>1</v>
      </c>
      <c r="C52" s="5">
        <v>46212</v>
      </c>
      <c r="D52" s="5">
        <v>46212</v>
      </c>
      <c r="E52" s="4" t="s">
        <v>21</v>
      </c>
      <c r="F52" s="4" t="s">
        <v>11</v>
      </c>
      <c r="G52" s="4">
        <v>565</v>
      </c>
      <c r="H52" s="4">
        <v>41</v>
      </c>
      <c r="I52" s="7" t="str">
        <f t="shared" si="0"/>
        <v>Domino's</v>
      </c>
      <c r="J52" s="7" t="str">
        <f t="shared" si="1"/>
        <v>Thursday</v>
      </c>
    </row>
    <row r="53" spans="1:10" x14ac:dyDescent="0.3">
      <c r="A53" s="4" t="s">
        <v>25</v>
      </c>
      <c r="B53" s="4">
        <v>1</v>
      </c>
      <c r="C53" s="5">
        <v>46179</v>
      </c>
      <c r="D53" s="5">
        <v>46179</v>
      </c>
      <c r="E53" s="4" t="s">
        <v>21</v>
      </c>
      <c r="F53" s="4" t="s">
        <v>14</v>
      </c>
      <c r="G53" s="4">
        <v>1323</v>
      </c>
      <c r="H53" s="4">
        <v>51</v>
      </c>
      <c r="I53" s="7" t="str">
        <f t="shared" si="0"/>
        <v>Domino's</v>
      </c>
      <c r="J53" s="7" t="str">
        <f t="shared" si="1"/>
        <v>Saturday</v>
      </c>
    </row>
    <row r="54" spans="1:10" x14ac:dyDescent="0.3">
      <c r="A54" s="4" t="s">
        <v>26</v>
      </c>
      <c r="B54" s="4">
        <v>5</v>
      </c>
      <c r="C54" s="5">
        <v>46186</v>
      </c>
      <c r="D54" s="5">
        <v>46187</v>
      </c>
      <c r="E54" s="4" t="s">
        <v>21</v>
      </c>
      <c r="F54" s="4" t="s">
        <v>22</v>
      </c>
      <c r="G54" s="4">
        <v>543</v>
      </c>
      <c r="H54" s="4">
        <v>60</v>
      </c>
      <c r="I54" s="7" t="str">
        <f t="shared" si="0"/>
        <v>Pizza Hut</v>
      </c>
      <c r="J54" s="7" t="str">
        <f t="shared" si="1"/>
        <v>Sunday</v>
      </c>
    </row>
    <row r="55" spans="1:10" x14ac:dyDescent="0.3">
      <c r="A55" s="4" t="s">
        <v>27</v>
      </c>
      <c r="B55" s="4">
        <v>1</v>
      </c>
      <c r="C55" s="5">
        <v>46218</v>
      </c>
      <c r="D55" s="5">
        <v>46220</v>
      </c>
      <c r="E55" s="4" t="s">
        <v>17</v>
      </c>
      <c r="F55" s="4" t="s">
        <v>11</v>
      </c>
      <c r="G55" s="4">
        <v>1397</v>
      </c>
      <c r="H55" s="4">
        <v>66</v>
      </c>
      <c r="I55" s="7" t="str">
        <f t="shared" si="0"/>
        <v>Domino's</v>
      </c>
      <c r="J55" s="7" t="str">
        <f t="shared" si="1"/>
        <v>Friday</v>
      </c>
    </row>
    <row r="56" spans="1:10" x14ac:dyDescent="0.3">
      <c r="A56" s="4" t="s">
        <v>28</v>
      </c>
      <c r="B56" s="4">
        <v>1</v>
      </c>
      <c r="C56" s="5">
        <v>46177</v>
      </c>
      <c r="D56" s="5">
        <v>46178</v>
      </c>
      <c r="E56" s="4" t="s">
        <v>17</v>
      </c>
      <c r="F56" s="4" t="s">
        <v>29</v>
      </c>
      <c r="G56" s="4">
        <v>1328</v>
      </c>
      <c r="H56" s="4">
        <v>22</v>
      </c>
      <c r="I56" s="7" t="str">
        <f t="shared" si="0"/>
        <v>Domino's</v>
      </c>
      <c r="J56" s="7" t="str">
        <f t="shared" si="1"/>
        <v>Friday</v>
      </c>
    </row>
    <row r="57" spans="1:10" x14ac:dyDescent="0.3">
      <c r="A57" s="4" t="s">
        <v>30</v>
      </c>
      <c r="B57" s="4">
        <v>1</v>
      </c>
      <c r="C57" s="5">
        <v>46219</v>
      </c>
      <c r="D57" s="5">
        <v>46220</v>
      </c>
      <c r="E57" s="4" t="s">
        <v>17</v>
      </c>
      <c r="F57" s="4" t="s">
        <v>11</v>
      </c>
      <c r="G57" s="4">
        <v>1184</v>
      </c>
      <c r="H57" s="4">
        <v>22</v>
      </c>
      <c r="I57" s="7" t="str">
        <f t="shared" si="0"/>
        <v>Domino's</v>
      </c>
      <c r="J57" s="7" t="str">
        <f t="shared" si="1"/>
        <v>Friday</v>
      </c>
    </row>
    <row r="58" spans="1:10" x14ac:dyDescent="0.3">
      <c r="A58" s="4" t="s">
        <v>31</v>
      </c>
      <c r="B58" s="4">
        <v>3</v>
      </c>
      <c r="C58" s="5">
        <v>46217</v>
      </c>
      <c r="D58" s="5">
        <v>46219</v>
      </c>
      <c r="E58" s="4" t="s">
        <v>21</v>
      </c>
      <c r="F58" s="4" t="s">
        <v>29</v>
      </c>
      <c r="G58" s="4">
        <v>375</v>
      </c>
      <c r="H58" s="4">
        <v>75</v>
      </c>
      <c r="I58" s="7" t="str">
        <f t="shared" si="0"/>
        <v>KFC</v>
      </c>
      <c r="J58" s="7" t="str">
        <f t="shared" si="1"/>
        <v>Thursday</v>
      </c>
    </row>
    <row r="59" spans="1:10" x14ac:dyDescent="0.3">
      <c r="A59" s="4" t="s">
        <v>32</v>
      </c>
      <c r="B59" s="4">
        <v>5</v>
      </c>
      <c r="C59" s="5">
        <v>46197</v>
      </c>
      <c r="D59" s="5">
        <v>46198</v>
      </c>
      <c r="E59" s="4" t="s">
        <v>17</v>
      </c>
      <c r="F59" s="4" t="s">
        <v>22</v>
      </c>
      <c r="G59" s="4">
        <v>557</v>
      </c>
      <c r="H59" s="4">
        <v>80</v>
      </c>
      <c r="I59" s="7" t="str">
        <f t="shared" si="0"/>
        <v>Pizza Hut</v>
      </c>
      <c r="J59" s="7" t="str">
        <f t="shared" si="1"/>
        <v>Thursday</v>
      </c>
    </row>
    <row r="60" spans="1:10" x14ac:dyDescent="0.3">
      <c r="A60" s="4" t="s">
        <v>33</v>
      </c>
      <c r="B60" s="4">
        <v>5</v>
      </c>
      <c r="C60" s="5">
        <v>46175</v>
      </c>
      <c r="D60" s="5">
        <v>46176</v>
      </c>
      <c r="E60" s="4" t="s">
        <v>55</v>
      </c>
      <c r="F60" s="4" t="s">
        <v>14</v>
      </c>
      <c r="G60" s="4">
        <v>1037</v>
      </c>
      <c r="H60" s="4">
        <v>27</v>
      </c>
      <c r="I60" s="7" t="str">
        <f t="shared" si="0"/>
        <v>Pizza Hut</v>
      </c>
      <c r="J60" s="7" t="str">
        <f t="shared" si="1"/>
        <v>Wednesday</v>
      </c>
    </row>
    <row r="61" spans="1:10" x14ac:dyDescent="0.3">
      <c r="A61" s="4" t="s">
        <v>34</v>
      </c>
      <c r="B61" s="4">
        <v>2</v>
      </c>
      <c r="C61" s="5">
        <v>46188</v>
      </c>
      <c r="D61" s="5">
        <v>46189</v>
      </c>
      <c r="E61" s="4" t="s">
        <v>55</v>
      </c>
      <c r="F61" s="4" t="s">
        <v>29</v>
      </c>
      <c r="G61" s="4">
        <v>331</v>
      </c>
      <c r="H61" s="4">
        <v>39</v>
      </c>
      <c r="I61" s="7" t="str">
        <f t="shared" si="0"/>
        <v>Burger King</v>
      </c>
      <c r="J61" s="7" t="str">
        <f t="shared" si="1"/>
        <v>Tuesday</v>
      </c>
    </row>
    <row r="62" spans="1:10" x14ac:dyDescent="0.3">
      <c r="A62" s="4" t="s">
        <v>35</v>
      </c>
      <c r="B62" s="4">
        <v>3</v>
      </c>
      <c r="C62" s="5">
        <v>46180</v>
      </c>
      <c r="D62" s="5">
        <v>46182</v>
      </c>
      <c r="E62" s="4" t="s">
        <v>21</v>
      </c>
      <c r="F62" s="4" t="s">
        <v>14</v>
      </c>
      <c r="G62" s="4">
        <v>931</v>
      </c>
      <c r="H62" s="4">
        <v>69</v>
      </c>
      <c r="I62" s="7" t="str">
        <f t="shared" si="0"/>
        <v>KFC</v>
      </c>
      <c r="J62" s="7" t="str">
        <f t="shared" si="1"/>
        <v>Tuesday</v>
      </c>
    </row>
    <row r="63" spans="1:10" x14ac:dyDescent="0.3">
      <c r="A63" s="4" t="s">
        <v>36</v>
      </c>
      <c r="B63" s="4">
        <v>5</v>
      </c>
      <c r="C63" s="5">
        <v>46201</v>
      </c>
      <c r="D63" s="5">
        <v>46202</v>
      </c>
      <c r="E63" s="4" t="s">
        <v>55</v>
      </c>
      <c r="F63" s="4" t="s">
        <v>11</v>
      </c>
      <c r="G63" s="4">
        <v>1309</v>
      </c>
      <c r="H63" s="4">
        <v>67</v>
      </c>
      <c r="I63" s="7" t="str">
        <f t="shared" si="0"/>
        <v>Pizza Hut</v>
      </c>
      <c r="J63" s="7" t="str">
        <f t="shared" si="1"/>
        <v>Monday</v>
      </c>
    </row>
    <row r="64" spans="1:10" x14ac:dyDescent="0.3">
      <c r="A64" s="4" t="s">
        <v>37</v>
      </c>
      <c r="B64" s="4">
        <v>1</v>
      </c>
      <c r="C64" s="5">
        <v>46201</v>
      </c>
      <c r="D64" s="5">
        <v>46201</v>
      </c>
      <c r="E64" s="4" t="s">
        <v>21</v>
      </c>
      <c r="F64" s="4" t="s">
        <v>22</v>
      </c>
      <c r="G64" s="4">
        <v>1194</v>
      </c>
      <c r="H64" s="4">
        <v>43</v>
      </c>
      <c r="I64" s="7" t="str">
        <f t="shared" si="0"/>
        <v>Domino's</v>
      </c>
      <c r="J64" s="7" t="str">
        <f t="shared" si="1"/>
        <v>Sunday</v>
      </c>
    </row>
    <row r="65" spans="1:10" x14ac:dyDescent="0.3">
      <c r="A65" s="4" t="s">
        <v>38</v>
      </c>
      <c r="B65" s="4">
        <v>5</v>
      </c>
      <c r="C65" s="5">
        <v>46197</v>
      </c>
      <c r="D65" s="5">
        <v>46197</v>
      </c>
      <c r="E65" s="4" t="s">
        <v>55</v>
      </c>
      <c r="F65" s="4" t="s">
        <v>11</v>
      </c>
      <c r="G65" s="4">
        <v>680</v>
      </c>
      <c r="H65" s="4">
        <v>21</v>
      </c>
      <c r="I65" s="7" t="str">
        <f t="shared" si="0"/>
        <v>Pizza Hut</v>
      </c>
      <c r="J65" s="7" t="str">
        <f t="shared" si="1"/>
        <v>Wednesday</v>
      </c>
    </row>
    <row r="66" spans="1:10" x14ac:dyDescent="0.3">
      <c r="A66" s="4" t="s">
        <v>39</v>
      </c>
      <c r="B66" s="4">
        <v>1</v>
      </c>
      <c r="C66" s="5">
        <v>46185</v>
      </c>
      <c r="D66" s="5">
        <v>46186</v>
      </c>
      <c r="E66" s="4" t="s">
        <v>17</v>
      </c>
      <c r="F66" s="4" t="s">
        <v>14</v>
      </c>
      <c r="G66" s="4">
        <v>1392</v>
      </c>
      <c r="H66" s="4">
        <v>29</v>
      </c>
      <c r="I66" s="7" t="str">
        <f t="shared" si="0"/>
        <v>Domino's</v>
      </c>
      <c r="J66" s="7" t="str">
        <f t="shared" si="1"/>
        <v>Saturday</v>
      </c>
    </row>
    <row r="67" spans="1:10" x14ac:dyDescent="0.3">
      <c r="A67" s="4" t="s">
        <v>40</v>
      </c>
      <c r="B67" s="4">
        <v>1</v>
      </c>
      <c r="C67" s="5">
        <v>46177</v>
      </c>
      <c r="D67" s="5">
        <v>46177</v>
      </c>
      <c r="E67" s="4" t="s">
        <v>13</v>
      </c>
      <c r="F67" s="4" t="s">
        <v>11</v>
      </c>
      <c r="G67" s="4">
        <v>946</v>
      </c>
      <c r="H67" s="4">
        <v>38</v>
      </c>
      <c r="I67" s="7" t="str">
        <f t="shared" si="0"/>
        <v>Domino's</v>
      </c>
      <c r="J67" s="7" t="str">
        <f t="shared" si="1"/>
        <v>Thursday</v>
      </c>
    </row>
    <row r="68" spans="1:10" x14ac:dyDescent="0.3">
      <c r="A68" s="4" t="s">
        <v>41</v>
      </c>
      <c r="B68" s="4">
        <v>5</v>
      </c>
      <c r="C68" s="5">
        <v>46174</v>
      </c>
      <c r="D68" s="5">
        <v>46175</v>
      </c>
      <c r="E68" s="4" t="s">
        <v>55</v>
      </c>
      <c r="F68" s="4" t="s">
        <v>11</v>
      </c>
      <c r="G68" s="4">
        <v>1134</v>
      </c>
      <c r="H68" s="4">
        <v>55</v>
      </c>
      <c r="I68" s="7" t="str">
        <f t="shared" si="0"/>
        <v>Pizza Hut</v>
      </c>
      <c r="J68" s="7" t="str">
        <f t="shared" si="1"/>
        <v>Tuesday</v>
      </c>
    </row>
    <row r="69" spans="1:10" x14ac:dyDescent="0.3">
      <c r="A69" s="4" t="s">
        <v>42</v>
      </c>
      <c r="B69" s="4">
        <v>3</v>
      </c>
      <c r="C69" s="5">
        <v>46182</v>
      </c>
      <c r="D69" s="5">
        <v>46182</v>
      </c>
      <c r="E69" s="4" t="s">
        <v>55</v>
      </c>
      <c r="F69" s="4" t="s">
        <v>14</v>
      </c>
      <c r="G69" s="4">
        <v>284</v>
      </c>
      <c r="H69" s="4">
        <v>46</v>
      </c>
      <c r="I69" s="7" t="str">
        <f t="shared" si="0"/>
        <v>KFC</v>
      </c>
      <c r="J69" s="7" t="str">
        <f t="shared" si="1"/>
        <v>Tuesday</v>
      </c>
    </row>
    <row r="70" spans="1:10" x14ac:dyDescent="0.3">
      <c r="A70" s="4" t="s">
        <v>43</v>
      </c>
      <c r="B70" s="4">
        <v>4</v>
      </c>
      <c r="C70" s="5">
        <v>46183</v>
      </c>
      <c r="D70" s="5">
        <v>46185</v>
      </c>
      <c r="E70" s="4" t="s">
        <v>13</v>
      </c>
      <c r="F70" s="4" t="s">
        <v>11</v>
      </c>
      <c r="G70" s="4">
        <v>711</v>
      </c>
      <c r="H70" s="4">
        <v>69</v>
      </c>
      <c r="I70" s="7" t="str">
        <f t="shared" si="0"/>
        <v>Subway</v>
      </c>
      <c r="J70" s="7" t="str">
        <f t="shared" si="1"/>
        <v>Friday</v>
      </c>
    </row>
    <row r="71" spans="1:10" x14ac:dyDescent="0.3">
      <c r="A71" s="4" t="s">
        <v>44</v>
      </c>
      <c r="B71" s="4">
        <v>5</v>
      </c>
      <c r="C71" s="5">
        <v>46212</v>
      </c>
      <c r="D71" s="5">
        <v>46213</v>
      </c>
      <c r="E71" s="4" t="s">
        <v>55</v>
      </c>
      <c r="F71" s="4" t="s">
        <v>14</v>
      </c>
      <c r="G71" s="4">
        <v>249</v>
      </c>
      <c r="H71" s="4">
        <v>37</v>
      </c>
      <c r="I71" s="7" t="str">
        <f t="shared" si="0"/>
        <v>Pizza Hut</v>
      </c>
      <c r="J71" s="7" t="str">
        <f t="shared" si="1"/>
        <v>Friday</v>
      </c>
    </row>
    <row r="72" spans="1:10" x14ac:dyDescent="0.3">
      <c r="A72" s="4" t="s">
        <v>45</v>
      </c>
      <c r="B72" s="4">
        <v>5</v>
      </c>
      <c r="C72" s="5">
        <v>46182</v>
      </c>
      <c r="D72" s="5">
        <v>46182</v>
      </c>
      <c r="E72" s="4" t="s">
        <v>21</v>
      </c>
      <c r="F72" s="4" t="s">
        <v>11</v>
      </c>
      <c r="G72" s="4">
        <v>605</v>
      </c>
      <c r="H72" s="4">
        <v>74</v>
      </c>
      <c r="I72" s="7" t="str">
        <f t="shared" si="0"/>
        <v>Pizza Hut</v>
      </c>
      <c r="J72" s="7" t="str">
        <f t="shared" si="1"/>
        <v>Tuesday</v>
      </c>
    </row>
    <row r="73" spans="1:10" x14ac:dyDescent="0.3">
      <c r="A73" s="4" t="s">
        <v>46</v>
      </c>
      <c r="B73" s="4">
        <v>1</v>
      </c>
      <c r="C73" s="5">
        <v>46186</v>
      </c>
      <c r="D73" s="5">
        <v>46186</v>
      </c>
      <c r="E73" s="4" t="s">
        <v>13</v>
      </c>
      <c r="F73" s="4" t="s">
        <v>22</v>
      </c>
      <c r="G73" s="4">
        <v>1361</v>
      </c>
      <c r="H73" s="4">
        <v>55</v>
      </c>
      <c r="I73" s="7" t="str">
        <f t="shared" si="0"/>
        <v>Domino's</v>
      </c>
      <c r="J73" s="7" t="str">
        <f t="shared" si="1"/>
        <v>Saturday</v>
      </c>
    </row>
    <row r="74" spans="1:10" x14ac:dyDescent="0.3">
      <c r="A74" s="4" t="s">
        <v>47</v>
      </c>
      <c r="B74" s="4">
        <v>5</v>
      </c>
      <c r="C74" s="5">
        <v>46198</v>
      </c>
      <c r="D74" s="5">
        <v>46198</v>
      </c>
      <c r="E74" s="4" t="s">
        <v>17</v>
      </c>
      <c r="F74" s="4" t="s">
        <v>22</v>
      </c>
      <c r="G74" s="4">
        <v>1364</v>
      </c>
      <c r="H74" s="4">
        <v>80</v>
      </c>
      <c r="I74" s="7" t="str">
        <f t="shared" si="0"/>
        <v>Pizza Hut</v>
      </c>
      <c r="J74" s="7" t="str">
        <f t="shared" si="1"/>
        <v>Thursday</v>
      </c>
    </row>
    <row r="75" spans="1:10" x14ac:dyDescent="0.3">
      <c r="A75" s="4" t="s">
        <v>48</v>
      </c>
      <c r="B75" s="4">
        <v>3</v>
      </c>
      <c r="C75" s="5">
        <v>46208</v>
      </c>
      <c r="D75" s="5">
        <v>46208</v>
      </c>
      <c r="E75" s="4" t="s">
        <v>21</v>
      </c>
      <c r="F75" s="4" t="s">
        <v>22</v>
      </c>
      <c r="G75" s="4">
        <v>1264</v>
      </c>
      <c r="H75" s="4">
        <v>39</v>
      </c>
      <c r="I75" s="7" t="str">
        <f t="shared" si="0"/>
        <v>KFC</v>
      </c>
      <c r="J75" s="7" t="str">
        <f t="shared" si="1"/>
        <v>Sunday</v>
      </c>
    </row>
    <row r="76" spans="1:10" x14ac:dyDescent="0.3">
      <c r="A76" s="4" t="s">
        <v>49</v>
      </c>
      <c r="B76" s="4">
        <v>5</v>
      </c>
      <c r="C76" s="5">
        <v>46207</v>
      </c>
      <c r="D76" s="5">
        <v>46209</v>
      </c>
      <c r="E76" s="4" t="s">
        <v>21</v>
      </c>
      <c r="F76" s="4" t="s">
        <v>29</v>
      </c>
      <c r="G76" s="4">
        <v>281</v>
      </c>
      <c r="H76" s="4">
        <v>66</v>
      </c>
      <c r="I76" s="7" t="str">
        <f t="shared" si="0"/>
        <v>Pizza Hut</v>
      </c>
      <c r="J76" s="7" t="str">
        <f t="shared" si="1"/>
        <v>Monday</v>
      </c>
    </row>
    <row r="77" spans="1:10" x14ac:dyDescent="0.3">
      <c r="A77" s="4" t="s">
        <v>50</v>
      </c>
      <c r="B77" s="4">
        <v>2</v>
      </c>
      <c r="C77" s="5">
        <v>46182</v>
      </c>
      <c r="D77" s="5">
        <v>46182</v>
      </c>
      <c r="E77" s="4" t="s">
        <v>21</v>
      </c>
      <c r="F77" s="4" t="s">
        <v>22</v>
      </c>
      <c r="G77" s="4">
        <v>1078</v>
      </c>
      <c r="H77" s="4">
        <v>23</v>
      </c>
      <c r="I77" s="7" t="str">
        <f t="shared" si="0"/>
        <v>Burger King</v>
      </c>
      <c r="J77" s="7" t="str">
        <f t="shared" si="1"/>
        <v>Tuesday</v>
      </c>
    </row>
    <row r="78" spans="1:10" x14ac:dyDescent="0.3">
      <c r="A78" s="4" t="s">
        <v>51</v>
      </c>
      <c r="B78" s="4">
        <v>4</v>
      </c>
      <c r="C78" s="5">
        <v>46214</v>
      </c>
      <c r="D78" s="5">
        <v>46214</v>
      </c>
      <c r="E78" s="4" t="s">
        <v>21</v>
      </c>
      <c r="F78" s="4" t="s">
        <v>29</v>
      </c>
      <c r="G78" s="4">
        <v>648</v>
      </c>
      <c r="H78" s="4">
        <v>76</v>
      </c>
      <c r="I78" s="7" t="str">
        <f t="shared" si="0"/>
        <v>Subway</v>
      </c>
      <c r="J78" s="7" t="str">
        <f t="shared" si="1"/>
        <v>Saturday</v>
      </c>
    </row>
    <row r="81" spans="1:13" x14ac:dyDescent="0.3">
      <c r="A81" s="14" t="s">
        <v>56</v>
      </c>
      <c r="B81" s="14"/>
      <c r="C81" s="14"/>
      <c r="D81" s="14"/>
      <c r="E81" s="14"/>
      <c r="F81" s="14"/>
    </row>
    <row r="82" spans="1:13" ht="27.6" x14ac:dyDescent="0.3">
      <c r="A82" s="3" t="s">
        <v>3</v>
      </c>
      <c r="B82" s="3" t="s">
        <v>53</v>
      </c>
      <c r="D82" s="8" t="s">
        <v>57</v>
      </c>
    </row>
    <row r="83" spans="1:13" x14ac:dyDescent="0.3">
      <c r="A83" s="4">
        <v>1</v>
      </c>
      <c r="B83" s="4" t="s">
        <v>58</v>
      </c>
    </row>
    <row r="84" spans="1:13" x14ac:dyDescent="0.3">
      <c r="A84" s="4">
        <v>2</v>
      </c>
      <c r="B84" s="4" t="s">
        <v>59</v>
      </c>
    </row>
    <row r="85" spans="1:13" x14ac:dyDescent="0.3">
      <c r="A85" s="4">
        <v>3</v>
      </c>
      <c r="B85" s="4" t="s">
        <v>60</v>
      </c>
    </row>
    <row r="86" spans="1:13" x14ac:dyDescent="0.3">
      <c r="A86" s="4">
        <v>4</v>
      </c>
      <c r="B86" s="4" t="s">
        <v>61</v>
      </c>
    </row>
    <row r="87" spans="1:13" x14ac:dyDescent="0.3">
      <c r="A87" s="4">
        <v>5</v>
      </c>
      <c r="B87" s="4" t="s">
        <v>62</v>
      </c>
      <c r="H87" s="2" t="s">
        <v>69</v>
      </c>
      <c r="I87" s="2"/>
      <c r="J87" s="2"/>
      <c r="K87" s="2"/>
      <c r="L87" s="2"/>
      <c r="M87" s="2"/>
    </row>
    <row r="88" spans="1:13" x14ac:dyDescent="0.3">
      <c r="H88" s="9" t="s">
        <v>70</v>
      </c>
      <c r="J88" s="10" t="s">
        <v>71</v>
      </c>
    </row>
    <row r="89" spans="1:13" ht="17.399999999999999" x14ac:dyDescent="0.3">
      <c r="H89" s="11">
        <f>COUNTA($A$44:$A$79)</f>
        <v>35</v>
      </c>
      <c r="J89" s="12">
        <f>SUMPRODUCT($D$44:$D$79-$C$44:$C$79)/COUNT($D$44:$D$79)</f>
        <v>0.65714285714285714</v>
      </c>
    </row>
    <row r="90" spans="1:13" x14ac:dyDescent="0.3">
      <c r="A90" s="2" t="s">
        <v>63</v>
      </c>
      <c r="B90" s="2"/>
      <c r="C90" s="2"/>
      <c r="D90" s="2"/>
      <c r="E90" s="2"/>
      <c r="F90" s="2"/>
    </row>
    <row r="91" spans="1:13" x14ac:dyDescent="0.3">
      <c r="A91" s="8" t="s">
        <v>64</v>
      </c>
    </row>
    <row r="92" spans="1:13" x14ac:dyDescent="0.3">
      <c r="A92" s="8" t="s">
        <v>65</v>
      </c>
    </row>
    <row r="94" spans="1:13" x14ac:dyDescent="0.3">
      <c r="A94" s="2" t="s">
        <v>66</v>
      </c>
      <c r="B94" s="2"/>
      <c r="C94" s="2"/>
      <c r="D94" s="2"/>
      <c r="E94" s="2"/>
      <c r="F94" s="2"/>
    </row>
    <row r="95" spans="1:13" ht="41.4" x14ac:dyDescent="0.3">
      <c r="A95" s="3" t="s">
        <v>7</v>
      </c>
      <c r="B95" s="3" t="s">
        <v>67</v>
      </c>
      <c r="C95" s="3" t="s">
        <v>68</v>
      </c>
    </row>
    <row r="96" spans="1:13" x14ac:dyDescent="0.3">
      <c r="A96" s="7" t="s">
        <v>14</v>
      </c>
      <c r="B96" s="7">
        <f>COUNTIF($F$44:$F$79,A96)</f>
        <v>9</v>
      </c>
      <c r="C96" s="7">
        <f>SUMIF($F$44:$F$79,A96,$H$44:$H$79)</f>
        <v>375</v>
      </c>
    </row>
    <row r="97" spans="1:3" x14ac:dyDescent="0.3">
      <c r="A97" s="7" t="s">
        <v>11</v>
      </c>
      <c r="B97" s="7">
        <f>COUNTIF($F$44:$F$79,A97)</f>
        <v>13</v>
      </c>
      <c r="C97" s="7">
        <f>SUMIF($F$44:$F$79,A97,$H$44:$H$79)</f>
        <v>712</v>
      </c>
    </row>
    <row r="98" spans="1:3" x14ac:dyDescent="0.3">
      <c r="A98" s="7" t="s">
        <v>29</v>
      </c>
      <c r="B98" s="7">
        <f>COUNTIF($F$44:$F$79,A98)</f>
        <v>5</v>
      </c>
      <c r="C98" s="7">
        <f>SUMIF($F$44:$F$79,A98,$H$44:$H$79)</f>
        <v>278</v>
      </c>
    </row>
    <row r="99" spans="1:3" x14ac:dyDescent="0.3">
      <c r="A99" s="7" t="s">
        <v>22</v>
      </c>
      <c r="B99" s="7">
        <f>COUNTIF($F$44:$F$79,A99)</f>
        <v>8</v>
      </c>
      <c r="C99" s="7">
        <f>SUMIF($F$44:$F$79,A99,$H$44:$H$79)</f>
        <v>457</v>
      </c>
    </row>
    <row r="120" spans="1:8" ht="27.75" customHeight="1" x14ac:dyDescent="0.3">
      <c r="A120" s="13" t="s">
        <v>72</v>
      </c>
      <c r="B120" s="13"/>
      <c r="C120" s="13"/>
      <c r="D120" s="13"/>
      <c r="E120" s="13"/>
      <c r="F120" s="13"/>
      <c r="G120" s="13"/>
      <c r="H120" s="13"/>
    </row>
  </sheetData>
  <mergeCells count="8">
    <mergeCell ref="H87:M87"/>
    <mergeCell ref="A120:H120"/>
    <mergeCell ref="A1:F1"/>
    <mergeCell ref="A3:F3"/>
    <mergeCell ref="A42:F42"/>
    <mergeCell ref="A81:F81"/>
    <mergeCell ref="A90:F90"/>
    <mergeCell ref="A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kayat</dc:creator>
  <cp:lastModifiedBy>samir kayat</cp:lastModifiedBy>
  <dcterms:created xsi:type="dcterms:W3CDTF">2026-07-20T15:40:14Z</dcterms:created>
  <dcterms:modified xsi:type="dcterms:W3CDTF">2026-07-20T15:41:42Z</dcterms:modified>
</cp:coreProperties>
</file>